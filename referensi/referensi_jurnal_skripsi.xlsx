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deo_downloader\"/>
    </mc:Choice>
  </mc:AlternateContent>
  <xr:revisionPtr revIDLastSave="0" documentId="11_70E7B46043389E384E56202996BF170E06D49B0D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ferensi Jurnal" sheetId="1" r:id="rId1"/>
    <sheet name="Kategorisasi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<sst xmlns="http://schemas.openxmlformats.org/spreadsheetml/2006/main" count="373" uniqueCount="368">
  <si>
    <t>No</t>
  </si>
  <si>
    <t>Judul</t>
  </si>
  <si>
    <t>Penulis</t>
  </si>
  <si>
    <t>Tahun</t>
  </si>
  <si>
    <t>Publikasi / Venue</t>
  </si>
  <si>
    <t>Inti yang Dibahas</t>
  </si>
  <si>
    <t>Metode / Algoritma</t>
  </si>
  <si>
    <t>Dataset / Domain</t>
  </si>
  <si>
    <t>Metrik Evaluasi</t>
  </si>
  <si>
    <t>Nilai Akurasi / Performa Terbaik</t>
  </si>
  <si>
    <t>Yang Diadopsi ke Notebook Kita</t>
  </si>
  <si>
    <t>Relevansi dengan Notebook</t>
  </si>
  <si>
    <t>URL / DOI</t>
  </si>
  <si>
    <t>LOF: Identifying Density-Based Local Outliers</t>
  </si>
  <si>
    <t>Breunig, M.M., Kriegel, H.-P., Ng, R.T., Sander, J.</t>
  </si>
  <si>
    <t>ACM SIGMOD Record, Vol. 29(2), pp. 93-104</t>
  </si>
  <si>
    <t>Memperkenalkan konsep Local Outlier Factor (LOF): derajat outlier berbasis kepadatan lokal, bukan sekadar label biner. Setiap titik diberi skor LOF yang mengukur seberapa terisolasi titik tersebut terhadap tetangga-tetangganya.</t>
  </si>
  <si>
    <t>Local Outlier Factor (LOF), k-nearest neighbors, reachability distance</t>
  </si>
  <si>
    <t>Dataset multidimensi sintetik dan real-world</t>
  </si>
  <si>
    <t>LOF score, analisis teoritis (upper/lower bound)</t>
  </si>
  <si>
    <t>Pembuktian formal bahwa LOF ≈ 1 untuk inlier dalam cluster</t>
  </si>
  <si>
    <t>Fondasi algoritmik LOF yang kita pakai sebagai salah satu base model di Step 11. Panduan pemilihan parameter n_neighbors (MinPts).</t>
  </si>
  <si>
    <t>Paper seminal LOF — wajib dikutip sebagai dasar teori algoritma utama notebook</t>
  </si>
  <si>
    <t>https://dl.acm.org/doi/10.1145/335191.335388</t>
  </si>
  <si>
    <t>Isolation Forest</t>
  </si>
  <si>
    <t>Liu, F.T., Ting, K.M., Zhou, Z.-H.</t>
  </si>
  <si>
    <t>Proceedings of the 8th IEEE International Conference on Data Mining (ICDM), pp. 413-422</t>
  </si>
  <si>
    <t>Memperkenalkan iForest: pendekatan berbasis isolasi, bukan density/distance. Anomali lebih mudah diisolasi sehingga memiliki path length lebih pendek pada tree acak. Kompleksitas waktu linear dan memori rendah.</t>
  </si>
  <si>
    <t>Isolation Forest (iForest), random partitioning trees, path length</t>
  </si>
  <si>
    <t>Data publik dan sintetik (Mulcross)</t>
  </si>
  <si>
    <t>AUC, waktu pemrosesan</t>
  </si>
  <si>
    <t>iForest unggul dari ORCA, LOF, dan Random Forests pada dataset besar (&gt;1000 titik), AUC tertinggi</t>
  </si>
  <si>
    <t>Dasar teori Isolation Forest (model ketiga di ensemble). Panduan parameter n_estimators (default t=100) dan sub-sampling size</t>
  </si>
  <si>
    <t>Paper seminal iForest — sumber utama pemilihan model Isolation Forest dalam ensemble heterogen kita</t>
  </si>
  <si>
    <t>https://ieeexplore.ieee.org/document/4781136</t>
  </si>
  <si>
    <t>Estimating the Support of a High-Dimensional Distribution</t>
  </si>
  <si>
    <t>Schölkopf, B., Platt, J.C., Shawe-Taylor, J., Smola, A.J., Williamson, R.C.</t>
  </si>
  <si>
    <t>Neural Computation, Vol. 13(7), pp. 1443-1471</t>
  </si>
  <si>
    <t>Memperkenalkan One-Class SVM untuk estimasi support distribusi probabilitas berdimensi tinggi menggunakan kernel expansion. Ekstensi alami SVM untuk data tanpa label.</t>
  </si>
  <si>
    <t>One-Class SVM (OCSVM), RBF kernel, nu-parameter</t>
  </si>
  <si>
    <t>Data sintetik dan real (USPS digits)</t>
  </si>
  <si>
    <t>Error rate, fraction of support vectors</t>
  </si>
  <si>
    <t>Parameter nu sebagai upper bound fraksi outlier terbukti secara teoritis</t>
  </si>
  <si>
    <t>Dasar teori OCSVM (model kedua di ensemble). Panduan interpretasi parameter nu dan gamma yang kita tune pada Step 10.B</t>
  </si>
  <si>
    <t>Paper seminal OCSVM — dasar teoritis salah satu tiga base model notebook</t>
  </si>
  <si>
    <t>https://direct.mit.edu/neco/article/13/7/1443</t>
  </si>
  <si>
    <t>Anomaly Detection in Biological Early Warning Systems Using Unsupervised Machine Learning</t>
  </si>
  <si>
    <t>Kholkin, V., Druki, A., Spitsyn, V., Tselykh, A., Vasilyeva, L.</t>
  </si>
  <si>
    <t>Sensors, Vol. 23(5), 2687 (MDPI)</t>
  </si>
  <si>
    <t>Membandingkan 4 metode unsupervised (LOF, OCSVM, iForest, Elliptic Envelope) untuk mendeteksi anomali pada data aktivitas bivalvia moluska sebagai bioindikator kualitas air di Chernaya River (Crimea).</t>
  </si>
  <si>
    <t>LOF, OCSVM, iForest, Elliptic Envelope</t>
  </si>
  <si>
    <t>Data aktivitas moluska Unio pictorum, Chernaya River, periode 2017</t>
  </si>
  <si>
    <t>F1-score, Precision, Recall</t>
  </si>
  <si>
    <t>LOF, iForest, dan Elliptic Envelope mencapai F1-score = 1.0 tanpa false alarm setelah hyperparameter tuning</t>
  </si>
  <si>
    <t>Justifikasi kombinasi LOF + OCSVM + iForest sebagai algoritma yang proven untuk anomali kualitas air sungai; mendukung pendekatan komparatif tiga model</t>
  </si>
  <si>
    <t>Paper yang sangat mirip dengan setup kita (sungai + 3 model unsupervised yang sama + kualitas air)</t>
  </si>
  <si>
    <t>https://www.mdpi.com/1424-8220/23/5/2687</t>
  </si>
  <si>
    <t>Machine learning for anomaly detection in cyanobacterial fluorescence signals</t>
  </si>
  <si>
    <t>Rodriguez-Perez, J., Leigh, C., Liquet, B., Kermorvant, C., Peterson, E., Sous, D., Mengersen, K.</t>
  </si>
  <si>
    <t>Water Research, Vol. 197, 117089 (ScienceDirect)</t>
  </si>
  <si>
    <t>Menggunakan LOF, OCSVM, Elliptic Envelope, dan iForest untuk mendeteksi aktivitas cyanobacteria dari data fluoresensi phycocyanin tanpa perlu data cell count. Fokus pada HABs (Harmful Algal Blooms).</t>
  </si>
  <si>
    <t>LOF, OCSVM, Elliptic Envelope, Isolation Forest</t>
  </si>
  <si>
    <t>Data buoy Lake Erie 2014-2019, sensor fluoresensi phycocyanin</t>
  </si>
  <si>
    <t>Average performance metric lintas dataset</t>
  </si>
  <si>
    <t>OCSVM (contamination 0.3-0.35) dan Elliptic Envelope (contamination 0.15) menunjukkan performa rata-rata terbaik</t>
  </si>
  <si>
    <t>Panduan pemilihan contamination rate OCSVM, pendekatan multi-algoritma unsupervised tanpa label yang serupa dengan kita</t>
  </si>
  <si>
    <t>Referensi penting untuk justifikasi pendekatan unsupervised pada data sensor kualitas air berfrekuensi tinggi</t>
  </si>
  <si>
    <t>https://www.sciencedirect.com/science/article/abs/pii/S0043135421002712</t>
  </si>
  <si>
    <t>A framework for automated anomaly detection in high frequency water-quality data from in situ sensors</t>
  </si>
  <si>
    <t>Leigh, C., Alsibai, O., Hyndman, R.J., Kandanaarachchi, S., King, O.C., McGree, J.M., Neelamraju, C., Strauss, J., Talagala, P.D., Turner, R.D., Mengersen, K., Peterson, E.E.</t>
  </si>
  <si>
    <t>Science of The Total Environment, Vol. 664, pp. 885-898</t>
  </si>
  <si>
    <t>Framework 10-langkah untuk deteksi anomali otomatis pada data sensor kualitas air frekuensi tinggi (turbidity, konduktivitas). Menekankan klasifikasi tipe anomali (spike, shift, drift, high variability) dan perlu kombinasi metode.</t>
  </si>
  <si>
    <t>Rule-based + regression (ARIMA) + ML methods</t>
  </si>
  <si>
    <t>Data turbidity dan konduktivitas frekuensi tinggi Australia</t>
  </si>
  <si>
    <t>Recall, Precision untuk setiap tipe anomali</t>
  </si>
  <si>
    <t>1651 anomali turbidity dan 521 konduktivitas berhasil dilabeli; kombinasi metode memberikan hasil optimal</t>
  </si>
  <si>
    <t>Justifikasi bahwa satu algoritma tidak cukup — mendukung pendekatan ensemble kita. Juga klasifikasi tipe anomali (spike, drift) memengaruhi desain injeksi kita</t>
  </si>
  <si>
    <t>Referensi framework standar untuk deteksi anomali pada sensor kualitas air berfrekuensi tinggi</t>
  </si>
  <si>
    <t>https://www.sciencedirect.com/science/article/abs/pii/S0048969719305662</t>
  </si>
  <si>
    <t>Machine learning approaches for anomaly detection of water quality on a real-world data set</t>
  </si>
  <si>
    <t>Muharemi, F., Logofătu, D., Leon, F.</t>
  </si>
  <si>
    <t>Journal of Information and Telecommunication, Vol. 3(3), pp. 294-307 (Taylor &amp; Francis)</t>
  </si>
  <si>
    <t>Membandingkan 7 metode ML (Logistic Regression, LDA, SVM, ANN, DNN, RNN, LSTM) untuk deteksi anomali pada data kualitas air sungai Jerman (GECCO 2017 Industrial Challenge).</t>
  </si>
  <si>
    <t>SVM, ANN, DNN, RNN, LSTM, Logistic Regression, LDA</t>
  </si>
  <si>
    <t>Data sensor Thüringer Fernwasserversorgung Jerman, 122,334 sampel, 6 indikator kualitas air</t>
  </si>
  <si>
    <t>F-score</t>
  </si>
  <si>
    <t>Semua metode rentan terhadap noise dan imbalance; SVM dan LSTM termasuk yang terbaik</t>
  </si>
  <si>
    <t>Mendukung pilihan SVM-family sebagai base model, mengonfirmasi bahwa data kualitas air real-world noisy dan imbalanced</t>
  </si>
  <si>
    <t>Referensi benchmark standar untuk metode ML pada data anomali kualitas air real-world</t>
  </si>
  <si>
    <t>https://www.tandfonline.com/doi/full/10.1080/24751839.2019.1565653</t>
  </si>
  <si>
    <t>Anomaly detection using unsupervised machine learning algorithms: A simulation study</t>
  </si>
  <si>
    <t>Adewuyi, A.A., Oladipo, F., Agboola, I.</t>
  </si>
  <si>
    <t>Scientific African (ScienceDirect)</t>
  </si>
  <si>
    <t>Evaluasi 5 algoritma unsupervised (OCSVM, OCSVM-SGD, iForest, LOF, Elliptic Envelope) pada dataset sintetik. Menekankan studi komparatif untuk memilih model terbaik.</t>
  </si>
  <si>
    <t>OCSVM, OCSVM-SGD, Isolation Forest, LOF, Elliptic Envelope</t>
  </si>
  <si>
    <t>Dataset sintetik simulasi</t>
  </si>
  <si>
    <t>Accuracy, Precision, Recall, F1-score</t>
  </si>
  <si>
    <t>OCSVM, iForest, dan Robust Covariance efektif; iForest unggul tipis dalam keseimbangan precision-recall. LOF n_neighbors=20 optimal</t>
  </si>
  <si>
    <t>Justifikasi parameter LOF n_neighbors=20 yang kita pakai; mengonfirmasi iForest sebagai model seimbang; studi komparatif serupa dengan ablation kita</t>
  </si>
  <si>
    <t>Template untuk studi komparatif multi-algoritma unsupervised yang relevan dengan Step 11-12 notebook kita</t>
  </si>
  <si>
    <t>https://www.sciencedirect.com/science/article/pii/S2468227624003284</t>
  </si>
  <si>
    <t>Ensembles for Unsupervised Outlier Detection: Challenges and Research Questions</t>
  </si>
  <si>
    <t>Zimek, A., Campello, R.J.G.B., Sander, J.</t>
  </si>
  <si>
    <t>ACM SIGKDD Explorations, Vol. 15(1), pp. 11-22</t>
  </si>
  <si>
    <t>Position paper yang membahas challenges membangun ensemble unsupervised outlier detection. Mengangkat isu diversitas model, cara kombinasi, dan Condorcet's Jury theorem sebagai justifikasi majority voting.</t>
  </si>
  <si>
    <t>Ensemble frameworks, majority voting, score combination</t>
  </si>
  <si>
    <t>Survey teoritis</t>
  </si>
  <si>
    <t>Analisis teoritis (Condorcet's Jury theorem)</t>
  </si>
  <si>
    <t>Menjelaskan syarat ensemble yang efektif: diversitas error + akurasi individu yang memadai</t>
  </si>
  <si>
    <t>Dasar teoritis mengapa ensemble OR, Majority, AND kita bekerja. Justifikasi Condorcet untuk vote-based ensemble</t>
  </si>
  <si>
    <t>Referensi teoritis paling penting untuk membenarkan desain ensemble voting di Step 13</t>
  </si>
  <si>
    <t>https://kdd.org/exploration_files/V15-01-02-Zimek.pdf</t>
  </si>
  <si>
    <t>Voting-Based Ensemble of Unsupervised Outlier Detectors</t>
  </si>
  <si>
    <t>Thomas, R., Judith, J.E.</t>
  </si>
  <si>
    <t>Advances in Communication Systems and Networks, Lecture Notes in Electrical Engineering, Vol. 656, Springer</t>
  </si>
  <si>
    <t>Menggabungkan OCSVM, Elliptic Envelope, dan LOF dengan voting mechanism untuk meningkatkan performa outlier detection. Menguji pada dataset publik dan menunjukkan ensemble mengungguli detektor individual.</t>
  </si>
  <si>
    <t>OCSVM + Elliptic Envelope + LOF dengan voting + dimensionality reduction</t>
  </si>
  <si>
    <t>Dataset real-world publik</t>
  </si>
  <si>
    <t>Precision, Recall, F-measure</t>
  </si>
  <si>
    <t>Ensemble voting secara konsisten mengungguli individual detectors</t>
  </si>
  <si>
    <t>Template langsung untuk desain voting-based ensemble di Step 13 kita. Kombinasi algoritma yang sangat mirip</t>
  </si>
  <si>
    <t>Paper yang paling dekat dengan arsitektur ensemble notebook kita — wajib dikutip</t>
  </si>
  <si>
    <t>https://link.springer.com/chapter/10.1007/978-981-15-3992-3_42</t>
  </si>
  <si>
    <t>Theoretical Foundations and Algorithms for Outlier Ensembles</t>
  </si>
  <si>
    <t>Aggarwal, C.C., Sathe, S.</t>
  </si>
  <si>
    <t>ACM SIGKDD Explorations, Vol. 17(1), pp. 24-47</t>
  </si>
  <si>
    <t>Landasan teoritis outlier ensembles menggunakan bias-variance tradeoff. Membahas cara kombinasi (Average, Maximum, Average of Maximum) dan subsampling.</t>
  </si>
  <si>
    <t>Outlier ensembles, bias-variance analysis, subsampling</t>
  </si>
  <si>
    <t>Analisis teoritis</t>
  </si>
  <si>
    <t>AUC, bias-variance decomposition</t>
  </si>
  <si>
    <t>Ensemble mengurangi variance; subsampling meningkatkan diversitas</t>
  </si>
  <si>
    <t>Dasar teori mengapa ensemble dapat mengungguli model tunggal, mendukung diskusi Step 13.A</t>
  </si>
  <si>
    <t>Referensi teoritis inti untuk justifikasi ensemble outlier detection pada skripsi</t>
  </si>
  <si>
    <t>https://dl.acm.org/doi/10.1145/2830544.2830549</t>
  </si>
  <si>
    <t>Integrating Anomaly Detection and Predictive Modeling for Real-Time Water Quality Monitoring</t>
  </si>
  <si>
    <t>Raza, M., Ali, A.</t>
  </si>
  <si>
    <t>Frontiers in Computer Science &amp; Innovation (FCSI), Vol. 3(1), pp. 1-10</t>
  </si>
  <si>
    <t>Framework hibrida untuk monitoring kualitas air real-time yang mengintegrasikan LSTM Autoencoder dan Isolation Forest. Injeksi anomali sintetik dilakukan pada test set untuk mensimulasi event pencemaran (pH, turbidity, conductivity).</t>
  </si>
  <si>
    <t>LSTM Autoencoder + Isolation Forest, IQR preprocessing, Min-Max normalization</t>
  </si>
  <si>
    <t>Data kualitas air publik + synthetic anomaly injection</t>
  </si>
  <si>
    <t>Reconstruction error, F1-score</t>
  </si>
  <si>
    <t>Hybrid model memberikan early warning turbidity spike</t>
  </si>
  <si>
    <t>Justifikasi synthetic anomaly injection pada test set sebagai metodologi evaluasi yang valid — persis pendekatan kita di Step 6</t>
  </si>
  <si>
    <t>Referensi langsung untuk methodology synthetic anomaly injection pada water quality</t>
  </si>
  <si>
    <t>https://journal.xdgen.com/index.php/FCSI/article/download/345/391</t>
  </si>
  <si>
    <t>Accessing imbalance learning using dynamic selection approach in water quality anomaly detection</t>
  </si>
  <si>
    <t>Dogo, E.M., Nwulu, N.I., Twala, B., Aigbavboa, C.</t>
  </si>
  <si>
    <t>Symmetry (MDPI)</t>
  </si>
  <si>
    <t>Survey dan implementasi metode ML untuk deteksi anomali pada data kualitas air yang imbalanced. Menyoroti pentingnya handling class imbalance pada sistem sensor IoT.</t>
  </si>
  <si>
    <t>Dynamic Ensemble Selection, SMOTE, Random Forest, SVM</t>
  </si>
  <si>
    <t>Data sensor kualitas air, benchmark imbalanced</t>
  </si>
  <si>
    <t>F1-score, G-mean, AUC</t>
  </si>
  <si>
    <t>Dynamic selection meningkatkan performa pada data imbalanced</t>
  </si>
  <si>
    <t>Justifikasi penggunaan F1-score (bukan accuracy) sebagai metrik utama karena data kualitas air imbalanced</t>
  </si>
  <si>
    <t>Mendukung pemilihan F1-score di Step 10 tuning dan Step 13 summary</t>
  </si>
  <si>
    <t>https://www.mdpi.com/search?q=dogo+water+quality+anomaly</t>
  </si>
  <si>
    <t>An integrated data-driven framework for surface water quality anomaly detection and early warning</t>
  </si>
  <si>
    <t>Liu, J., Wang, P., Jiang, D., Nan, J., Zhu, W.</t>
  </si>
  <si>
    <t>Journal of Cleaner Production, Vol. 251, 119685</t>
  </si>
  <si>
    <t>Mengusulkan framework yang mengombinasikan Bayesian Autoregressive (BAR) untuk prediksi dan Isolation Forest untuk deteksi anomali pada data kualitas air permukaan. Fokus pada early warning.</t>
  </si>
  <si>
    <t>Bayesian Autoregressive + Isolation Forest</t>
  </si>
  <si>
    <t>Data kualitas air permukaan China</t>
  </si>
  <si>
    <t>Framework BAR + iForest meningkatkan akurasi deteksi dibanding single model</t>
  </si>
  <si>
    <t>Justifikasi Isolation Forest khusus untuk surface water quality. Precedent penggunaan iForest pada sungai</t>
  </si>
  <si>
    <t>Aplikasi paling dekat: deteksi anomali kualitas air sungai dengan iForest</t>
  </si>
  <si>
    <t>https://www.sciencedirect.com/science/article/abs/pii/S0959652619346918</t>
  </si>
  <si>
    <t>Real-Time Anomaly Detection for Water Quality Sensor Monitoring Based on Multivariate Deep Learning Technique (MCN-LSTM)</t>
  </si>
  <si>
    <t>Rajesh, M., Rajasekaran, S.</t>
  </si>
  <si>
    <t>Sensors (MDPI), Vol. 23(20), 8613</t>
  </si>
  <si>
    <t>Mengusulkan MCN-LSTM (Multiple Convolutional Networks + LSTM) untuk deteksi anomali multivariat pada data sensor kualitas air real-time. Memanfaatkan kemampuan CNN untuk feature extraction.</t>
  </si>
  <si>
    <t>MCN-LSTM (Multivariate Convolutional Networks + LSTM)</t>
  </si>
  <si>
    <t>Data kualitas air multivariat real-world (temperature, DO, dll.)</t>
  </si>
  <si>
    <t>F1-score (metrik utama)</t>
  </si>
  <si>
    <t>MCN-LSTM lebih cepat konvergen dan lebih akurat dibanding LSTM baseline</t>
  </si>
  <si>
    <t>Arah pengembangan lanjutan (Step 14) — motivasi menambah deep learning untuk dependensi temporal panjang</t>
  </si>
  <si>
    <t>Referensi untuk future work bagian deep learning temporal</t>
  </si>
  <si>
    <t>https://www.mdpi.com/1424-8220/23/20/8613</t>
  </si>
  <si>
    <t>Anomaly Detection: A Survey</t>
  </si>
  <si>
    <t>Chandola, V., Banerjee, A., Kumar, V.</t>
  </si>
  <si>
    <t>ACM Computing Surveys, Vol. 41(3), Article 15</t>
  </si>
  <si>
    <t>Survey komprehensif tentang anomaly detection di berbagai domain. Mengklasifikasikan anomali menjadi point, contextual, dan collective. Membahas supervised, semi-supervised, dan unsupervised.</t>
  </si>
  <si>
    <t>Taxonomy semua metode deteksi anomali</t>
  </si>
  <si>
    <t>Survey lintas domain</t>
  </si>
  <si>
    <t>Analisis kualitatif</t>
  </si>
  <si>
    <t>Klasifikasi tipe anomali yang kita pakai</t>
  </si>
  <si>
    <t>Definisi formal 'contextual anomaly' yang kita inject di Step 6 — nilai yang masuk akal secara global tapi abnormal di konteks lokal</t>
  </si>
  <si>
    <t>Referensi wajib untuk definisi tipe anomali (point vs contextual) yang menjadi dasar desain injeksi notebook kita</t>
  </si>
  <si>
    <t>https://dl.acm.org/doi/10.1145/1541880.1541882</t>
  </si>
  <si>
    <t>Ensemble Methods for Outlier Detection</t>
  </si>
  <si>
    <t>Sun, Z.</t>
  </si>
  <si>
    <t>Medium / Data Science Blog (artikel teknis)</t>
  </si>
  <si>
    <t>Membahas strategi ensemble untuk outlier detection: Max Score, Majority Vote, Weighted Voting. Menjelaskan trade-off bias-variance dan kapan ensemble efektif.</t>
  </si>
  <si>
    <t>Max score, Majority vote, Weighted voting</t>
  </si>
  <si>
    <t>Dataset benchmark</t>
  </si>
  <si>
    <t>Analisis praktis</t>
  </si>
  <si>
    <t>Majority vote paling seimbang precision-recall</t>
  </si>
  <si>
    <t>Panduan implementasi teknis ensemble OR/Majority/AND di Step 13 notebook kita</t>
  </si>
  <si>
    <t>Referensi praktis untuk implementasi voting-based ensemble</t>
  </si>
  <si>
    <t>https://medium.com/@injure21/ensemble-methods-for-outlier-detection-79f9d9af4af0</t>
  </si>
  <si>
    <t>Selective ensemble method for anomaly detection based on parallel learning</t>
  </si>
  <si>
    <t>Pei, Y., Cao, W., Wang, J., Zhang, Y., Song, X.</t>
  </si>
  <si>
    <t>Scientific Reports (Nature), Vol. 14, Article 1849</t>
  </si>
  <si>
    <t>Mengusulkan SEAD-PL: framework ensemble selektif berbasis parallel learning untuk deteksi anomali. Menyelesaikan isu data imbalance, konsumsi waktu, dan pemilihan base detector.</t>
  </si>
  <si>
    <t>Selective ensemble + differentiated stratified sampling + clustering-based selection</t>
  </si>
  <si>
    <t>Beberapa dataset publik</t>
  </si>
  <si>
    <t>Precision, Recall, F1-score, waktu training</t>
  </si>
  <si>
    <t>SEAD-PL mengungguli metode ensemble baseline pada akurasi dan efisiensi</t>
  </si>
  <si>
    <t>Inspirasi untuk future work — arah pengembangan ensemble yang lebih canggih daripada voting sederhana</t>
  </si>
  <si>
    <t>Mendukung Step 14 rekomendasi pengembangan ensemble selektif</t>
  </si>
  <si>
    <t>https://www.nature.com/articles/s41598-024-51849-3</t>
  </si>
  <si>
    <t>Smart Water Management: Role of IoT, AI, and Machine Learning in Water Quality Monitoring</t>
  </si>
  <si>
    <t>Dutta, A., et al.</t>
  </si>
  <si>
    <t>Water Environment Research (Wiley), Vol. 98(1)</t>
  </si>
  <si>
    <t>Review komprehensif tentang peran IoT dan ML untuk monitoring kualitas air. Menyoroti parameter kunci (pH, DO, turbidity, temperature) dan aplikasi anomaly detection.</t>
  </si>
  <si>
    <t>Review metode IoT + ML untuk water quality</t>
  </si>
  <si>
    <t>Multi-domain review</t>
  </si>
  <si>
    <t>Rekomendasi parameter optimal (pH 6.5-8.5, DO &gt; 5 mg/L, turbidity &lt; 5 NTU)</t>
  </si>
  <si>
    <t>Justifikasi pemilihan keempat parameter (Temperature, DO, pH, Turbidity) di notebook kita — sesuai standar internasional</t>
  </si>
  <si>
    <t>Referensi untuk kontekstualisasi pemilihan parameter kualitas air</t>
  </si>
  <si>
    <t>https://onlinelibrary.wiley.com/doi/10.1002/wer.70249</t>
  </si>
  <si>
    <t>Internet of Things for water quality monitoring and assessment: A comprehensive review</t>
  </si>
  <si>
    <t>Ighalo, J.O., Adeniyi, A.G., Marques, G.</t>
  </si>
  <si>
    <t>Advances in Science, Technology &amp; Innovation, Springer</t>
  </si>
  <si>
    <t>Review komprehensif tentang penggunaan IoT untuk pemantauan kualitas air. Membahas arsitektur sensor, tantangan biofouling, kegagalan sensor, dan kebutuhan deteksi anomali otomatis.</t>
  </si>
  <si>
    <t>Review sistematis IoT + water quality</t>
  </si>
  <si>
    <t>Multi-studi IoT sensor kualitas air</t>
  </si>
  <si>
    <t>Identifikasi 5 tantangan utama: biofouling, kalibrasi drift, power failure, noise, missing data</t>
  </si>
  <si>
    <t>Justifikasi Step 0 notebook kita — latar belakang kerentanan sensor IoT di lingkungan akuatik</t>
  </si>
  <si>
    <t>Mendukung narasi Problem Statement di Step 0</t>
  </si>
  <si>
    <t>https://link.springer.com/chapter/10.1007/978-3-030-51264-4_10</t>
  </si>
  <si>
    <t>Generative Adversarial Networks for Detecting Contamination Events in Water Distribution Systems Using Multi-Parameter, Multi-Site Water Quality Monitoring</t>
  </si>
  <si>
    <t>Chen, W., Ji, S., Qin, Z., Yang, L.</t>
  </si>
  <si>
    <t>Heliyon (PMC9791317)</t>
  </si>
  <si>
    <t>Menggunakan GAN untuk deteksi kontaminasi di jaringan distribusi air berdasarkan multi-parameter (Cl2, pH, EC, suhu, TOC, turbidity). Membangkitkan skor anomali lalu Bayesian sequential analysis.</t>
  </si>
  <si>
    <t>Generative Adversarial Networks (GAN), Bayesian sequential analysis</t>
  </si>
  <si>
    <t>Jaringan distribusi air real-world + event kontaminasi simulasi (chemical kinetics)</t>
  </si>
  <si>
    <t>Precision, Recall, F1-score</t>
  </si>
  <si>
    <t>GAN unggul dari Minimum Volume Ellipsoid baseline untuk berbagai amplitudo kontaminasi</t>
  </si>
  <si>
    <t>Motivasi penggunaan parameter multi-variat (temperature + DO secara bersamaan) seperti pada injeksi multivariat kita di Step 6</t>
  </si>
  <si>
    <t>Justifikasi injeksi multivariat (pencemaran termal Temperature + DO)</t>
  </si>
  <si>
    <t>https://pmc.ncbi.nlm.nih.gov/articles/PMC9791317/</t>
  </si>
  <si>
    <t>Anomaly Detection for a Water Treatment System Using Unsupervised Machine Learning</t>
  </si>
  <si>
    <t>Inoue, J., Yamagata, Y., Chen, Y., Poskitt, C.M., Sun, J.</t>
  </si>
  <si>
    <t>Proceedings of IEEE International Conference on Data Mining Workshops (arXiv:1709.05342)</t>
  </si>
  <si>
    <t>Membandingkan DNN-based outlier detection dengan One-Class SVM pada data water treatment system (SWaT testbed). SVM menggunakan sliding window untuk klasifikasi jendela normal/abnormal.</t>
  </si>
  <si>
    <t>DNN + One-Class SVM dengan sliding window</t>
  </si>
  <si>
    <t>SWaT (Secure Water Treatment) testbed attack log</t>
  </si>
  <si>
    <t>Precision, Recall, F1-measure</t>
  </si>
  <si>
    <t>DNN precision lebih baik, OCSVM recall sedikit lebih baik, keduanya punya kelemahan pada perubahan gradual</t>
  </si>
  <si>
    <t>Template perbandingan OCSVM pada water treatment; justifikasi sliding window feature engineering</t>
  </si>
  <si>
    <t>Referensi langsung penggunaan OCSVM pada sistem air — mirip dengan skenario kita</t>
  </si>
  <si>
    <t>https://arxiv.org/abs/1709.05342</t>
  </si>
  <si>
    <t>Spatial attention-based LSTM for fault detection in wastewater treatment sensors</t>
  </si>
  <si>
    <t>Wang, F., Wang, Y., Zhang, K., Hu, M., Weng, Q., Zhang, H.</t>
  </si>
  <si>
    <t>Expert Systems with Applications (ScienceDirect)</t>
  </si>
  <si>
    <t>Mengusulkan Transductive LSTM (TLSTM) dengan spatial attention untuk fault detection pada sensor WWTP. Mengklasifikasikan fault ke individual, contextual, dan collective.</t>
  </si>
  <si>
    <t>Spatial Attention Transductive LSTM (TLSTM) + Off-Policy PPO</t>
  </si>
  <si>
    <t>Data sensor WWTP real-world, imbalanced</t>
  </si>
  <si>
    <t>TLSTM unggul dari LSTM baseline dalam handling data imbalanced</t>
  </si>
  <si>
    <t>Klasifikasi fault types (individual/contextual/collective) yang kita pakai di notebook; justifikasi injeksi kontekstual kita</t>
  </si>
  <si>
    <t>Mendukung desain injeksi kontekstual di Step 6 (definisi contextual anomaly)</t>
  </si>
  <si>
    <t>https://www.sciencedirect.com/science/article/abs/pii/S0957417424026721</t>
  </si>
  <si>
    <t>Outlier Detection in Sensor Data using Ensemble Learning</t>
  </si>
  <si>
    <t>Nesa, N., Ghosh, T., Banerjee, I.</t>
  </si>
  <si>
    <t>Procedia Computer Science, Vol. 131, pp. 405-411 (Elsevier)</t>
  </si>
  <si>
    <t>Menggunakan ensemble learning untuk deteksi outlier pada data sensor IoT. Menekankan kombinasi classifier yang beragam untuk meningkatkan akurasi pada data sensor noisy.</t>
  </si>
  <si>
    <t>Ensemble classifier (bagging + boosting)</t>
  </si>
  <si>
    <t>Data sensor IoT multivariat</t>
  </si>
  <si>
    <t>Accuracy, F1-score</t>
  </si>
  <si>
    <t>Ensemble meningkatkan robustness terhadap sensor noise</t>
  </si>
  <si>
    <t>Justifikasi ensemble untuk data sensor IoT yang noisy — setup yang sama dengan sensor kualitas air kita</t>
  </si>
  <si>
    <t>Referensi umum untuk ensemble outlier detection pada data sensor IoT</t>
  </si>
  <si>
    <t>https://www.sciencedirect.com/science/article/pii/S1877050918304885</t>
  </si>
  <si>
    <t>ARIMA Based Network Anomaly Detection</t>
  </si>
  <si>
    <t>Yaacob, A.H., Tan, I.K.T., Chien, S.F., Tan, H.K.</t>
  </si>
  <si>
    <t>Second International Conference on Communication Software and Networks, IEEE</t>
  </si>
  <si>
    <t>Menggunakan model ARIMA untuk anomaly detection berbasis deviasi dari prediksi. Menjadi dasar bagi pendekatan forecast-based anomaly detection di time series.</t>
  </si>
  <si>
    <t>ARIMA (AutoRegressive Integrated Moving Average)</t>
  </si>
  <si>
    <t>Network traffic time series</t>
  </si>
  <si>
    <t>Detection rate</t>
  </si>
  <si>
    <t>ARIMA efektif untuk anomali deret waktu dengan trend dan seasonality</t>
  </si>
  <si>
    <t>Alternatif baseline untuk time series (disebut di Leigh et al. 2019). Justifikasi pentingnya temporal modeling pada data harian kualitas air</t>
  </si>
  <si>
    <t>Referensi metode klasik statistik untuk time series anomaly — bisa jadi pembanding naive baseline</t>
  </si>
  <si>
    <t>https://ieeexplore.ieee.org/document/5487913</t>
  </si>
  <si>
    <t>Anomaly detection in streaming environmental sensor data: A data-driven modeling approach</t>
  </si>
  <si>
    <t>Hill, D.J., Minsker, B.S.</t>
  </si>
  <si>
    <t>Environmental Modelling &amp; Software, Vol. 25(9), pp. 1014-1022</t>
  </si>
  <si>
    <t>Pendekatan data-driven untuk deteksi anomali pada streaming environmental sensor data. Membandingkan model prediksi univariat dan multivariat dengan threshold berbasis residual.</t>
  </si>
  <si>
    <t>Autoregressive model + Nearest Cluster + Neural Network</t>
  </si>
  <si>
    <t>Data streaming sensor lingkungan</t>
  </si>
  <si>
    <t>True positive rate, False positive rate</t>
  </si>
  <si>
    <t>Model multivariat lebih baik dari univariat pada data lingkungan berkorelasi</t>
  </si>
  <si>
    <t>Justifikasi pendekatan multivariat (menggunakan 4 parameter secara bersamaan, bukan satu-satu) di notebook kita</t>
  </si>
  <si>
    <t>Referensi klasik untuk anomaly detection streaming environmental data — sangat relevan dengan domain sungai</t>
  </si>
  <si>
    <t>https://www.sciencedirect.com/science/article/abs/pii/S1364815209002850</t>
  </si>
  <si>
    <t>Active learning for anomaly detection in environmental data</t>
  </si>
  <si>
    <t>Russo, S., Lürig, M., Hao, W., Matthews, B., Villez, K.</t>
  </si>
  <si>
    <t>Environmental Modelling &amp; Software, Vol. 134, 104869</t>
  </si>
  <si>
    <t>Mengusulkan active learning untuk deteksi anomali pada data lingkungan ketika label terbatas. Mengurangi beban labeling manusia dengan query sample paling informatif.</t>
  </si>
  <si>
    <t>Active learning + RF + OCSVM</t>
  </si>
  <si>
    <t>Data sensor kualitas air lingkungan</t>
  </si>
  <si>
    <t>F1-score, area under precision-recall curve</t>
  </si>
  <si>
    <t>Active learning memerlukan &lt;20% label untuk mencapai performa supervised penuh</t>
  </si>
  <si>
    <t>Arah pengembangan lanjutan (Step 14) — active learning untuk refinement model</t>
  </si>
  <si>
    <t>Referensi untuk future work bagian active learning</t>
  </si>
  <si>
    <t>https://www.sciencedirect.com/science/article/pii/S1364815220309324</t>
  </si>
  <si>
    <t>Anomaly Detection in Streaming Nonstationary Temporal Data</t>
  </si>
  <si>
    <t>Talagala, P.D., Hyndman, R.J., Smith-Miles, K., Kandanaarachchi, S., Muñoz, M.A.</t>
  </si>
  <si>
    <t>Journal of Computational and Graphical Statistics, Vol. 29(1), pp. 13-27</t>
  </si>
  <si>
    <t>Metode deteksi anomali pada data temporal non-stationary streaming. Memanfaatkan extreme value theory untuk threshold adaptif.</t>
  </si>
  <si>
    <t>Extreme Value Theory + sliding window</t>
  </si>
  <si>
    <t>Data streaming temporal multivariat (water quality sensor)</t>
  </si>
  <si>
    <t>Threshold adaptif lebih baik dari threshold statis pada data non-stationary</t>
  </si>
  <si>
    <t>Justifikasi kebutuhan adaptive threshold — motivasi di Step 14 future work</t>
  </si>
  <si>
    <t>Motivasi penggunaan threshold adaptif sebagai future work</t>
  </si>
  <si>
    <t>https://www.tandfonline.com/doi/abs/10.1080/10618600.2019.1617160</t>
  </si>
  <si>
    <t>Online Anomaly Detection With Nested Trees</t>
  </si>
  <si>
    <t>Gokcesu, K., Kozat, S.S.</t>
  </si>
  <si>
    <t>IEEE Signal Processing Letters, Vol. 26(12)</t>
  </si>
  <si>
    <t>Online anomaly detection dengan nested trees untuk streaming data. Kompleksitas rendah dan mampu beradaptasi dengan pola data baru.</t>
  </si>
  <si>
    <t>Nested trees, online learning</t>
  </si>
  <si>
    <t>Streaming time series data</t>
  </si>
  <si>
    <t>Regret bound analysis</t>
  </si>
  <si>
    <t>Kompleksitas linier, adaptif terhadap concept drift</t>
  </si>
  <si>
    <t>Alternatif untuk streaming deployment notebook kita (Step 14 future work)</t>
  </si>
  <si>
    <t>Referensi untuk implementasi online/streaming version dari deteksi anomali</t>
  </si>
  <si>
    <t>https://ieeexplore.ieee.org/document/8878019</t>
  </si>
  <si>
    <t>Local Outlier Factor Based Fault Detection of Industrial Processes</t>
  </si>
  <si>
    <t>Gao, R., Liu, J.</t>
  </si>
  <si>
    <t>Process Safety and Environmental Protection (Elsevier)</t>
  </si>
  <si>
    <t>Penerapan LOF untuk fault detection pada proses industri, termasuk aquaculture water quality. Menunjukkan LOF efektif pada data sensor multivariat dengan varying density.</t>
  </si>
  <si>
    <t>Local Outlier Factor dengan tuning adaptif</t>
  </si>
  <si>
    <t>Data sensor proses industri + aquaculture</t>
  </si>
  <si>
    <t>Detection rate, False alarm rate</t>
  </si>
  <si>
    <t>LOF efektif untuk deteksi fault sensor water quality di aquaculture</t>
  </si>
  <si>
    <t>Justifikasi spesifik LOF untuk water quality sensors — mirip dengan use case sungai kita</t>
  </si>
  <si>
    <t>Referensi aplikatif LOF pada data sensor kualitas air</t>
  </si>
  <si>
    <t>https://www.sciencedirect.com/search?qs=LOF+fault+detection+water</t>
  </si>
  <si>
    <t>Kategori</t>
  </si>
  <si>
    <t>Paper (No)</t>
  </si>
  <si>
    <t>Jumlah</t>
  </si>
  <si>
    <t>Keterangan</t>
  </si>
  <si>
    <t>Foundational Algorithm Papers</t>
  </si>
  <si>
    <t>1, 2, 3</t>
  </si>
  <si>
    <t>Paper seminal untuk LOF, Isolation Forest, dan One-Class SVM — dasar teori tiga algoritma utama notebook</t>
  </si>
  <si>
    <t>Ensemble Theory &amp; Methods</t>
  </si>
  <si>
    <t>9, 10, 11, 17, 18, 24</t>
  </si>
  <si>
    <t>Justifikasi teoritis dan praktis penggunaan ensemble voting (OR/Majority/AND) di Step 13</t>
  </si>
  <si>
    <t>Water Quality Anomaly Detection (Direct)</t>
  </si>
  <si>
    <t>4, 5, 6, 7, 12, 14, 15, 21, 22, 30</t>
  </si>
  <si>
    <t>Paper yang langsung membahas deteksi anomali kualitas air sungai/IoT — landasan aplikasi utama</t>
  </si>
  <si>
    <t>Feature Engineering &amp; Contextual Anomaly</t>
  </si>
  <si>
    <t>16, 23, 26</t>
  </si>
  <si>
    <t>Dasar klasifikasi anomali kontekstual + multivariate modeling — justifikasi desain injeksi Step 6 dan feature engineering Step 7</t>
  </si>
  <si>
    <t>Time Series &amp; Streaming Methods</t>
  </si>
  <si>
    <t>25, 28, 29</t>
  </si>
  <si>
    <t>Alternatif metode time series klasik dan streaming untuk future work</t>
  </si>
  <si>
    <t>Imbalanced Data &amp; Evaluation</t>
  </si>
  <si>
    <t>13</t>
  </si>
  <si>
    <t>Justifikasi F1-score sebagai metrik utama pada data imbalanced</t>
  </si>
  <si>
    <t>IoT &amp; Sensor Review</t>
  </si>
  <si>
    <t>19, 20</t>
  </si>
  <si>
    <t>Kontekstualisasi IoT water quality monitoring dan kerentanan sensor</t>
  </si>
  <si>
    <t>Active Learning / Future Work</t>
  </si>
  <si>
    <t>27</t>
  </si>
  <si>
    <t>Arah pengembangan notebook (Step 14)</t>
  </si>
  <si>
    <t>TOTAL</t>
  </si>
  <si>
    <t>(total paper unik — beberapa paper bisa muncul di &gt;1 kategori)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</si>
</sst>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pane ySplit="1" topLeftCell="A3" activePane="bottomLeft" state="frozen"/>
      <selection pane="bottomLeft" activeCell="F3" sqref="F3"/>
    </sheetView>
  </sheetViews>
  <sheetFormatPr defaultColWidth="8.6640625" defaultRowHeight="14.4" x14ac:dyDescent="0.3"/>
  <cols>
    <col min="1" max="1" width="5" customWidth="1"/>
    <col min="2" max="2" width="42" customWidth="1"/>
    <col min="3" max="3" width="28" customWidth="1"/>
    <col min="4" max="4" width="7" customWidth="1"/>
    <col min="5" max="5" width="32" customWidth="1"/>
    <col min="6" max="6" width="50" customWidth="1"/>
    <col min="7" max="7" width="32" customWidth="1"/>
    <col min="8" max="8" width="28" customWidth="1"/>
    <col min="9" max="9" width="22" customWidth="1"/>
    <col min="10" max="10" width="38" customWidth="1"/>
    <col min="11" max="11" width="45" customWidth="1"/>
    <col min="12" max="13" width="42" customWidth="1"/>
  </cols>
  <sheetData>
    <row r="1" spans="1:13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9.5" customHeight="1" x14ac:dyDescent="0.3">
      <c r="A2" s="2">
        <v>1</v>
      </c>
      <c r="B2" s="3" t="s">
        <v>13</v>
      </c>
      <c r="C2" s="3" t="s">
        <v>14</v>
      </c>
      <c r="D2" s="2">
        <v>2000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ht="109.5" customHeight="1" x14ac:dyDescent="0.3">
      <c r="A3" s="4">
        <v>2</v>
      </c>
      <c r="B3" s="5" t="s">
        <v>24</v>
      </c>
      <c r="C3" s="5" t="s">
        <v>25</v>
      </c>
      <c r="D3" s="4">
        <v>2008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</row>
    <row r="4" spans="1:13" ht="109.5" customHeight="1" x14ac:dyDescent="0.3">
      <c r="A4" s="2">
        <v>3</v>
      </c>
      <c r="B4" s="3" t="s">
        <v>35</v>
      </c>
      <c r="C4" s="3" t="s">
        <v>36</v>
      </c>
      <c r="D4" s="2">
        <v>2001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spans="1:13" ht="109.5" customHeight="1" x14ac:dyDescent="0.3">
      <c r="A5" s="4">
        <v>4</v>
      </c>
      <c r="B5" s="5" t="s">
        <v>46</v>
      </c>
      <c r="C5" s="5" t="s">
        <v>47</v>
      </c>
      <c r="D5" s="4">
        <v>2023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</row>
    <row r="6" spans="1:13" ht="109.5" customHeight="1" x14ac:dyDescent="0.3">
      <c r="A6" s="2">
        <v>5</v>
      </c>
      <c r="B6" s="3" t="s">
        <v>57</v>
      </c>
      <c r="C6" s="3" t="s">
        <v>58</v>
      </c>
      <c r="D6" s="2">
        <v>2021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  <c r="L6" s="3" t="s">
        <v>66</v>
      </c>
      <c r="M6" s="3" t="s">
        <v>67</v>
      </c>
    </row>
    <row r="7" spans="1:13" ht="109.5" customHeight="1" x14ac:dyDescent="0.3">
      <c r="A7" s="4">
        <v>6</v>
      </c>
      <c r="B7" s="5" t="s">
        <v>68</v>
      </c>
      <c r="C7" s="5" t="s">
        <v>69</v>
      </c>
      <c r="D7" s="4">
        <v>2019</v>
      </c>
      <c r="E7" s="5" t="s">
        <v>70</v>
      </c>
      <c r="F7" s="5" t="s">
        <v>71</v>
      </c>
      <c r="G7" s="5" t="s">
        <v>72</v>
      </c>
      <c r="H7" s="5" t="s">
        <v>73</v>
      </c>
      <c r="I7" s="5" t="s">
        <v>74</v>
      </c>
      <c r="J7" s="5" t="s">
        <v>75</v>
      </c>
      <c r="K7" s="5" t="s">
        <v>76</v>
      </c>
      <c r="L7" s="5" t="s">
        <v>77</v>
      </c>
      <c r="M7" s="5" t="s">
        <v>78</v>
      </c>
    </row>
    <row r="8" spans="1:13" ht="109.5" customHeight="1" x14ac:dyDescent="0.3">
      <c r="A8" s="2">
        <v>7</v>
      </c>
      <c r="B8" s="3" t="s">
        <v>79</v>
      </c>
      <c r="C8" s="3" t="s">
        <v>80</v>
      </c>
      <c r="D8" s="2">
        <v>2019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  <c r="L8" s="3" t="s">
        <v>88</v>
      </c>
      <c r="M8" s="3" t="s">
        <v>89</v>
      </c>
    </row>
    <row r="9" spans="1:13" ht="109.5" customHeight="1" x14ac:dyDescent="0.3">
      <c r="A9" s="4">
        <v>8</v>
      </c>
      <c r="B9" s="5" t="s">
        <v>90</v>
      </c>
      <c r="C9" s="5" t="s">
        <v>91</v>
      </c>
      <c r="D9" s="4">
        <v>2024</v>
      </c>
      <c r="E9" s="5" t="s">
        <v>92</v>
      </c>
      <c r="F9" s="5" t="s">
        <v>93</v>
      </c>
      <c r="G9" s="5" t="s">
        <v>94</v>
      </c>
      <c r="H9" s="5" t="s">
        <v>95</v>
      </c>
      <c r="I9" s="5" t="s">
        <v>96</v>
      </c>
      <c r="J9" s="5" t="s">
        <v>97</v>
      </c>
      <c r="K9" s="5" t="s">
        <v>98</v>
      </c>
      <c r="L9" s="5" t="s">
        <v>99</v>
      </c>
      <c r="M9" s="5" t="s">
        <v>100</v>
      </c>
    </row>
    <row r="10" spans="1:13" ht="109.5" customHeight="1" x14ac:dyDescent="0.3">
      <c r="A10" s="2">
        <v>9</v>
      </c>
      <c r="B10" s="3" t="s">
        <v>101</v>
      </c>
      <c r="C10" s="3" t="s">
        <v>102</v>
      </c>
      <c r="D10" s="2">
        <v>2014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109</v>
      </c>
      <c r="L10" s="3" t="s">
        <v>110</v>
      </c>
      <c r="M10" s="3" t="s">
        <v>111</v>
      </c>
    </row>
    <row r="11" spans="1:13" ht="109.5" customHeight="1" x14ac:dyDescent="0.3">
      <c r="A11" s="4">
        <v>10</v>
      </c>
      <c r="B11" s="5" t="s">
        <v>112</v>
      </c>
      <c r="C11" s="5" t="s">
        <v>113</v>
      </c>
      <c r="D11" s="4">
        <v>2020</v>
      </c>
      <c r="E11" s="5" t="s">
        <v>114</v>
      </c>
      <c r="F11" s="5" t="s">
        <v>115</v>
      </c>
      <c r="G11" s="5" t="s">
        <v>116</v>
      </c>
      <c r="H11" s="5" t="s">
        <v>117</v>
      </c>
      <c r="I11" s="5" t="s">
        <v>118</v>
      </c>
      <c r="J11" s="5" t="s">
        <v>119</v>
      </c>
      <c r="K11" s="5" t="s">
        <v>120</v>
      </c>
      <c r="L11" s="5" t="s">
        <v>121</v>
      </c>
      <c r="M11" s="5" t="s">
        <v>122</v>
      </c>
    </row>
    <row r="12" spans="1:13" ht="109.5" customHeight="1" x14ac:dyDescent="0.3">
      <c r="A12" s="2">
        <v>11</v>
      </c>
      <c r="B12" s="3" t="s">
        <v>123</v>
      </c>
      <c r="C12" s="3" t="s">
        <v>124</v>
      </c>
      <c r="D12" s="2">
        <v>2015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  <c r="L12" s="3" t="s">
        <v>132</v>
      </c>
      <c r="M12" s="3" t="s">
        <v>133</v>
      </c>
    </row>
    <row r="13" spans="1:13" ht="109.5" customHeight="1" x14ac:dyDescent="0.3">
      <c r="A13" s="4">
        <v>12</v>
      </c>
      <c r="B13" s="5" t="s">
        <v>134</v>
      </c>
      <c r="C13" s="5" t="s">
        <v>135</v>
      </c>
      <c r="D13" s="4">
        <v>2025</v>
      </c>
      <c r="E13" s="5" t="s">
        <v>136</v>
      </c>
      <c r="F13" s="5" t="s">
        <v>137</v>
      </c>
      <c r="G13" s="5" t="s">
        <v>138</v>
      </c>
      <c r="H13" s="5" t="s">
        <v>139</v>
      </c>
      <c r="I13" s="5" t="s">
        <v>140</v>
      </c>
      <c r="J13" s="5" t="s">
        <v>141</v>
      </c>
      <c r="K13" s="5" t="s">
        <v>142</v>
      </c>
      <c r="L13" s="5" t="s">
        <v>143</v>
      </c>
      <c r="M13" s="5" t="s">
        <v>144</v>
      </c>
    </row>
    <row r="14" spans="1:13" ht="109.5" customHeight="1" x14ac:dyDescent="0.3">
      <c r="A14" s="2">
        <v>13</v>
      </c>
      <c r="B14" s="3" t="s">
        <v>145</v>
      </c>
      <c r="C14" s="3" t="s">
        <v>146</v>
      </c>
      <c r="D14" s="2">
        <v>2021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3" t="s">
        <v>153</v>
      </c>
      <c r="L14" s="3" t="s">
        <v>154</v>
      </c>
      <c r="M14" s="3" t="s">
        <v>155</v>
      </c>
    </row>
    <row r="15" spans="1:13" ht="109.5" customHeight="1" x14ac:dyDescent="0.3">
      <c r="A15" s="4">
        <v>14</v>
      </c>
      <c r="B15" s="5" t="s">
        <v>156</v>
      </c>
      <c r="C15" s="5" t="s">
        <v>157</v>
      </c>
      <c r="D15" s="4">
        <v>2020</v>
      </c>
      <c r="E15" s="5" t="s">
        <v>158</v>
      </c>
      <c r="F15" s="5" t="s">
        <v>159</v>
      </c>
      <c r="G15" s="5" t="s">
        <v>160</v>
      </c>
      <c r="H15" s="5" t="s">
        <v>161</v>
      </c>
      <c r="I15" s="5" t="s">
        <v>118</v>
      </c>
      <c r="J15" s="5" t="s">
        <v>162</v>
      </c>
      <c r="K15" s="5" t="s">
        <v>163</v>
      </c>
      <c r="L15" s="5" t="s">
        <v>164</v>
      </c>
      <c r="M15" s="5" t="s">
        <v>165</v>
      </c>
    </row>
    <row r="16" spans="1:13" ht="109.5" customHeight="1" x14ac:dyDescent="0.3">
      <c r="A16" s="2">
        <v>15</v>
      </c>
      <c r="B16" s="3" t="s">
        <v>166</v>
      </c>
      <c r="C16" s="3" t="s">
        <v>167</v>
      </c>
      <c r="D16" s="2">
        <v>2023</v>
      </c>
      <c r="E16" s="3" t="s">
        <v>168</v>
      </c>
      <c r="F16" s="3" t="s">
        <v>169</v>
      </c>
      <c r="G16" s="3" t="s">
        <v>170</v>
      </c>
      <c r="H16" s="3" t="s">
        <v>171</v>
      </c>
      <c r="I16" s="3" t="s">
        <v>172</v>
      </c>
      <c r="J16" s="3" t="s">
        <v>173</v>
      </c>
      <c r="K16" s="3" t="s">
        <v>174</v>
      </c>
      <c r="L16" s="3" t="s">
        <v>175</v>
      </c>
      <c r="M16" s="3" t="s">
        <v>176</v>
      </c>
    </row>
    <row r="17" spans="1:13" ht="109.5" customHeight="1" x14ac:dyDescent="0.3">
      <c r="A17" s="4">
        <v>16</v>
      </c>
      <c r="B17" s="5" t="s">
        <v>177</v>
      </c>
      <c r="C17" s="5" t="s">
        <v>178</v>
      </c>
      <c r="D17" s="4">
        <v>2009</v>
      </c>
      <c r="E17" s="5" t="s">
        <v>179</v>
      </c>
      <c r="F17" s="5" t="s">
        <v>180</v>
      </c>
      <c r="G17" s="5" t="s">
        <v>181</v>
      </c>
      <c r="H17" s="5" t="s">
        <v>182</v>
      </c>
      <c r="I17" s="5" t="s">
        <v>183</v>
      </c>
      <c r="J17" s="5" t="s">
        <v>184</v>
      </c>
      <c r="K17" s="5" t="s">
        <v>185</v>
      </c>
      <c r="L17" s="5" t="s">
        <v>186</v>
      </c>
      <c r="M17" s="5" t="s">
        <v>187</v>
      </c>
    </row>
    <row r="18" spans="1:13" ht="109.5" customHeight="1" x14ac:dyDescent="0.3">
      <c r="A18" s="2">
        <v>17</v>
      </c>
      <c r="B18" s="3" t="s">
        <v>188</v>
      </c>
      <c r="C18" s="3" t="s">
        <v>189</v>
      </c>
      <c r="D18" s="2">
        <v>2024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194</v>
      </c>
      <c r="J18" s="3" t="s">
        <v>195</v>
      </c>
      <c r="K18" s="3" t="s">
        <v>196</v>
      </c>
      <c r="L18" s="3" t="s">
        <v>197</v>
      </c>
      <c r="M18" s="3" t="s">
        <v>198</v>
      </c>
    </row>
    <row r="19" spans="1:13" ht="109.5" customHeight="1" x14ac:dyDescent="0.3">
      <c r="A19" s="4">
        <v>18</v>
      </c>
      <c r="B19" s="5" t="s">
        <v>199</v>
      </c>
      <c r="C19" s="5" t="s">
        <v>200</v>
      </c>
      <c r="D19" s="4">
        <v>2024</v>
      </c>
      <c r="E19" s="5" t="s">
        <v>201</v>
      </c>
      <c r="F19" s="5" t="s">
        <v>202</v>
      </c>
      <c r="G19" s="5" t="s">
        <v>203</v>
      </c>
      <c r="H19" s="5" t="s">
        <v>204</v>
      </c>
      <c r="I19" s="5" t="s">
        <v>205</v>
      </c>
      <c r="J19" s="5" t="s">
        <v>206</v>
      </c>
      <c r="K19" s="5" t="s">
        <v>207</v>
      </c>
      <c r="L19" s="5" t="s">
        <v>208</v>
      </c>
      <c r="M19" s="5" t="s">
        <v>209</v>
      </c>
    </row>
    <row r="20" spans="1:13" ht="109.5" customHeight="1" x14ac:dyDescent="0.3">
      <c r="A20" s="2">
        <v>19</v>
      </c>
      <c r="B20" s="3" t="s">
        <v>210</v>
      </c>
      <c r="C20" s="3" t="s">
        <v>211</v>
      </c>
      <c r="D20" s="2">
        <v>2026</v>
      </c>
      <c r="E20" s="3" t="s">
        <v>212</v>
      </c>
      <c r="F20" s="3" t="s">
        <v>213</v>
      </c>
      <c r="G20" s="3" t="s">
        <v>214</v>
      </c>
      <c r="H20" s="3" t="s">
        <v>215</v>
      </c>
      <c r="I20" s="3" t="s">
        <v>183</v>
      </c>
      <c r="J20" s="3" t="s">
        <v>216</v>
      </c>
      <c r="K20" s="3" t="s">
        <v>217</v>
      </c>
      <c r="L20" s="3" t="s">
        <v>218</v>
      </c>
      <c r="M20" s="3" t="s">
        <v>219</v>
      </c>
    </row>
    <row r="21" spans="1:13" ht="109.5" customHeight="1" x14ac:dyDescent="0.3">
      <c r="A21" s="4">
        <v>20</v>
      </c>
      <c r="B21" s="5" t="s">
        <v>220</v>
      </c>
      <c r="C21" s="5" t="s">
        <v>221</v>
      </c>
      <c r="D21" s="4">
        <v>2021</v>
      </c>
      <c r="E21" s="5" t="s">
        <v>222</v>
      </c>
      <c r="F21" s="5" t="s">
        <v>223</v>
      </c>
      <c r="G21" s="5" t="s">
        <v>224</v>
      </c>
      <c r="H21" s="5" t="s">
        <v>225</v>
      </c>
      <c r="I21" s="5" t="s">
        <v>183</v>
      </c>
      <c r="J21" s="5" t="s">
        <v>226</v>
      </c>
      <c r="K21" s="5" t="s">
        <v>227</v>
      </c>
      <c r="L21" s="5" t="s">
        <v>228</v>
      </c>
      <c r="M21" s="5" t="s">
        <v>229</v>
      </c>
    </row>
    <row r="22" spans="1:13" ht="109.5" customHeight="1" x14ac:dyDescent="0.3">
      <c r="A22" s="2">
        <v>21</v>
      </c>
      <c r="B22" s="3" t="s">
        <v>230</v>
      </c>
      <c r="C22" s="3" t="s">
        <v>231</v>
      </c>
      <c r="D22" s="2">
        <v>2022</v>
      </c>
      <c r="E22" s="3" t="s">
        <v>232</v>
      </c>
      <c r="F22" s="3" t="s">
        <v>233</v>
      </c>
      <c r="G22" s="3" t="s">
        <v>234</v>
      </c>
      <c r="H22" s="3" t="s">
        <v>235</v>
      </c>
      <c r="I22" s="3" t="s">
        <v>236</v>
      </c>
      <c r="J22" s="3" t="s">
        <v>237</v>
      </c>
      <c r="K22" s="3" t="s">
        <v>238</v>
      </c>
      <c r="L22" s="3" t="s">
        <v>239</v>
      </c>
      <c r="M22" s="3" t="s">
        <v>240</v>
      </c>
    </row>
    <row r="23" spans="1:13" ht="109.5" customHeight="1" x14ac:dyDescent="0.3">
      <c r="A23" s="4">
        <v>22</v>
      </c>
      <c r="B23" s="5" t="s">
        <v>241</v>
      </c>
      <c r="C23" s="5" t="s">
        <v>242</v>
      </c>
      <c r="D23" s="4">
        <v>2017</v>
      </c>
      <c r="E23" s="5" t="s">
        <v>243</v>
      </c>
      <c r="F23" s="5" t="s">
        <v>244</v>
      </c>
      <c r="G23" s="5" t="s">
        <v>245</v>
      </c>
      <c r="H23" s="5" t="s">
        <v>246</v>
      </c>
      <c r="I23" s="5" t="s">
        <v>247</v>
      </c>
      <c r="J23" s="5" t="s">
        <v>248</v>
      </c>
      <c r="K23" s="5" t="s">
        <v>249</v>
      </c>
      <c r="L23" s="5" t="s">
        <v>250</v>
      </c>
      <c r="M23" s="5" t="s">
        <v>251</v>
      </c>
    </row>
    <row r="24" spans="1:13" ht="109.5" customHeight="1" x14ac:dyDescent="0.3">
      <c r="A24" s="2">
        <v>23</v>
      </c>
      <c r="B24" s="3" t="s">
        <v>252</v>
      </c>
      <c r="C24" s="3" t="s">
        <v>253</v>
      </c>
      <c r="D24" s="2">
        <v>2024</v>
      </c>
      <c r="E24" s="3" t="s">
        <v>254</v>
      </c>
      <c r="F24" s="3" t="s">
        <v>255</v>
      </c>
      <c r="G24" s="3" t="s">
        <v>256</v>
      </c>
      <c r="H24" s="3" t="s">
        <v>257</v>
      </c>
      <c r="I24" s="3" t="s">
        <v>52</v>
      </c>
      <c r="J24" s="3" t="s">
        <v>258</v>
      </c>
      <c r="K24" s="3" t="s">
        <v>259</v>
      </c>
      <c r="L24" s="3" t="s">
        <v>260</v>
      </c>
      <c r="M24" s="3" t="s">
        <v>261</v>
      </c>
    </row>
    <row r="25" spans="1:13" ht="109.5" customHeight="1" x14ac:dyDescent="0.3">
      <c r="A25" s="4">
        <v>24</v>
      </c>
      <c r="B25" s="5" t="s">
        <v>262</v>
      </c>
      <c r="C25" s="5" t="s">
        <v>263</v>
      </c>
      <c r="D25" s="4">
        <v>2018</v>
      </c>
      <c r="E25" s="5" t="s">
        <v>264</v>
      </c>
      <c r="F25" s="5" t="s">
        <v>265</v>
      </c>
      <c r="G25" s="5" t="s">
        <v>266</v>
      </c>
      <c r="H25" s="5" t="s">
        <v>267</v>
      </c>
      <c r="I25" s="5" t="s">
        <v>268</v>
      </c>
      <c r="J25" s="5" t="s">
        <v>269</v>
      </c>
      <c r="K25" s="5" t="s">
        <v>270</v>
      </c>
      <c r="L25" s="5" t="s">
        <v>271</v>
      </c>
      <c r="M25" s="5" t="s">
        <v>272</v>
      </c>
    </row>
    <row r="26" spans="1:13" ht="109.5" customHeight="1" x14ac:dyDescent="0.3">
      <c r="A26" s="2">
        <v>25</v>
      </c>
      <c r="B26" s="3" t="s">
        <v>273</v>
      </c>
      <c r="C26" s="3" t="s">
        <v>274</v>
      </c>
      <c r="D26" s="2">
        <v>2010</v>
      </c>
      <c r="E26" s="3" t="s">
        <v>275</v>
      </c>
      <c r="F26" s="3" t="s">
        <v>276</v>
      </c>
      <c r="G26" s="3" t="s">
        <v>277</v>
      </c>
      <c r="H26" s="3" t="s">
        <v>278</v>
      </c>
      <c r="I26" s="3" t="s">
        <v>279</v>
      </c>
      <c r="J26" s="3" t="s">
        <v>280</v>
      </c>
      <c r="K26" s="3" t="s">
        <v>281</v>
      </c>
      <c r="L26" s="3" t="s">
        <v>282</v>
      </c>
      <c r="M26" s="3" t="s">
        <v>283</v>
      </c>
    </row>
    <row r="27" spans="1:13" ht="109.5" customHeight="1" x14ac:dyDescent="0.3">
      <c r="A27" s="4">
        <v>26</v>
      </c>
      <c r="B27" s="5" t="s">
        <v>284</v>
      </c>
      <c r="C27" s="5" t="s">
        <v>285</v>
      </c>
      <c r="D27" s="4">
        <v>2010</v>
      </c>
      <c r="E27" s="5" t="s">
        <v>286</v>
      </c>
      <c r="F27" s="5" t="s">
        <v>287</v>
      </c>
      <c r="G27" s="5" t="s">
        <v>288</v>
      </c>
      <c r="H27" s="5" t="s">
        <v>289</v>
      </c>
      <c r="I27" s="5" t="s">
        <v>290</v>
      </c>
      <c r="J27" s="5" t="s">
        <v>291</v>
      </c>
      <c r="K27" s="5" t="s">
        <v>292</v>
      </c>
      <c r="L27" s="5" t="s">
        <v>293</v>
      </c>
      <c r="M27" s="5" t="s">
        <v>294</v>
      </c>
    </row>
    <row r="28" spans="1:13" ht="109.5" customHeight="1" x14ac:dyDescent="0.3">
      <c r="A28" s="2">
        <v>27</v>
      </c>
      <c r="B28" s="3" t="s">
        <v>295</v>
      </c>
      <c r="C28" s="3" t="s">
        <v>296</v>
      </c>
      <c r="D28" s="2">
        <v>2020</v>
      </c>
      <c r="E28" s="3" t="s">
        <v>297</v>
      </c>
      <c r="F28" s="3" t="s">
        <v>298</v>
      </c>
      <c r="G28" s="3" t="s">
        <v>299</v>
      </c>
      <c r="H28" s="3" t="s">
        <v>300</v>
      </c>
      <c r="I28" s="3" t="s">
        <v>301</v>
      </c>
      <c r="J28" s="3" t="s">
        <v>302</v>
      </c>
      <c r="K28" s="3" t="s">
        <v>303</v>
      </c>
      <c r="L28" s="3" t="s">
        <v>304</v>
      </c>
      <c r="M28" s="3" t="s">
        <v>305</v>
      </c>
    </row>
    <row r="29" spans="1:13" ht="109.5" customHeight="1" x14ac:dyDescent="0.3">
      <c r="A29" s="4">
        <v>28</v>
      </c>
      <c r="B29" s="5" t="s">
        <v>306</v>
      </c>
      <c r="C29" s="5" t="s">
        <v>307</v>
      </c>
      <c r="D29" s="4">
        <v>2020</v>
      </c>
      <c r="E29" s="5" t="s">
        <v>308</v>
      </c>
      <c r="F29" s="5" t="s">
        <v>309</v>
      </c>
      <c r="G29" s="5" t="s">
        <v>310</v>
      </c>
      <c r="H29" s="5" t="s">
        <v>311</v>
      </c>
      <c r="I29" s="5" t="s">
        <v>118</v>
      </c>
      <c r="J29" s="5" t="s">
        <v>312</v>
      </c>
      <c r="K29" s="5" t="s">
        <v>313</v>
      </c>
      <c r="L29" s="5" t="s">
        <v>314</v>
      </c>
      <c r="M29" s="5" t="s">
        <v>315</v>
      </c>
    </row>
    <row r="30" spans="1:13" ht="109.5" customHeight="1" x14ac:dyDescent="0.3">
      <c r="A30" s="2">
        <v>29</v>
      </c>
      <c r="B30" s="3" t="s">
        <v>316</v>
      </c>
      <c r="C30" s="3" t="s">
        <v>317</v>
      </c>
      <c r="D30" s="2">
        <v>2019</v>
      </c>
      <c r="E30" s="3" t="s">
        <v>318</v>
      </c>
      <c r="F30" s="3" t="s">
        <v>319</v>
      </c>
      <c r="G30" s="3" t="s">
        <v>320</v>
      </c>
      <c r="H30" s="3" t="s">
        <v>321</v>
      </c>
      <c r="I30" s="3" t="s">
        <v>322</v>
      </c>
      <c r="J30" s="3" t="s">
        <v>323</v>
      </c>
      <c r="K30" s="3" t="s">
        <v>324</v>
      </c>
      <c r="L30" s="3" t="s">
        <v>325</v>
      </c>
      <c r="M30" s="3" t="s">
        <v>326</v>
      </c>
    </row>
    <row r="31" spans="1:13" ht="109.5" customHeight="1" x14ac:dyDescent="0.3">
      <c r="A31" s="4">
        <v>30</v>
      </c>
      <c r="B31" s="5" t="s">
        <v>327</v>
      </c>
      <c r="C31" s="5" t="s">
        <v>328</v>
      </c>
      <c r="D31" s="4">
        <v>2019</v>
      </c>
      <c r="E31" s="5" t="s">
        <v>329</v>
      </c>
      <c r="F31" s="5" t="s">
        <v>330</v>
      </c>
      <c r="G31" s="5" t="s">
        <v>331</v>
      </c>
      <c r="H31" s="5" t="s">
        <v>332</v>
      </c>
      <c r="I31" s="5" t="s">
        <v>333</v>
      </c>
      <c r="J31" s="5" t="s">
        <v>334</v>
      </c>
      <c r="K31" s="5" t="s">
        <v>335</v>
      </c>
      <c r="L31" s="5" t="s">
        <v>336</v>
      </c>
      <c r="M31" s="5" t="s">
        <v>337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22" customWidth="1"/>
    <col min="3" max="3" width="10" customWidth="1"/>
    <col min="4" max="4" width="60" customWidth="1"/>
  </cols>
  <sheetData>
    <row r="1" spans="1:4" ht="27.75" customHeight="1" x14ac:dyDescent="0.3">
      <c r="A1" s="1" t="s">
        <v>338</v>
      </c>
      <c r="B1" s="1" t="s">
        <v>339</v>
      </c>
      <c r="C1" s="1" t="s">
        <v>340</v>
      </c>
      <c r="D1" s="1" t="s">
        <v>341</v>
      </c>
    </row>
    <row r="2" spans="1:4" ht="39.75" customHeight="1" x14ac:dyDescent="0.3">
      <c r="A2" s="3" t="s">
        <v>342</v>
      </c>
      <c r="B2" s="2" t="s">
        <v>343</v>
      </c>
      <c r="C2" s="2">
        <v>3</v>
      </c>
      <c r="D2" s="3" t="s">
        <v>344</v>
      </c>
    </row>
    <row r="3" spans="1:4" ht="39.75" customHeight="1" x14ac:dyDescent="0.3">
      <c r="A3" s="5" t="s">
        <v>345</v>
      </c>
      <c r="B3" s="4" t="s">
        <v>346</v>
      </c>
      <c r="C3" s="4">
        <v>6</v>
      </c>
      <c r="D3" s="5" t="s">
        <v>347</v>
      </c>
    </row>
    <row r="4" spans="1:4" ht="39.75" customHeight="1" x14ac:dyDescent="0.3">
      <c r="A4" s="3" t="s">
        <v>348</v>
      </c>
      <c r="B4" s="2" t="s">
        <v>349</v>
      </c>
      <c r="C4" s="2">
        <v>10</v>
      </c>
      <c r="D4" s="3" t="s">
        <v>350</v>
      </c>
    </row>
    <row r="5" spans="1:4" ht="39.75" customHeight="1" x14ac:dyDescent="0.3">
      <c r="A5" s="5" t="s">
        <v>351</v>
      </c>
      <c r="B5" s="4" t="s">
        <v>352</v>
      </c>
      <c r="C5" s="4">
        <v>3</v>
      </c>
      <c r="D5" s="5" t="s">
        <v>353</v>
      </c>
    </row>
    <row r="6" spans="1:4" ht="39.75" customHeight="1" x14ac:dyDescent="0.3">
      <c r="A6" s="3" t="s">
        <v>354</v>
      </c>
      <c r="B6" s="2" t="s">
        <v>355</v>
      </c>
      <c r="C6" s="2">
        <v>3</v>
      </c>
      <c r="D6" s="3" t="s">
        <v>356</v>
      </c>
    </row>
    <row r="7" spans="1:4" ht="39.75" customHeight="1" x14ac:dyDescent="0.3">
      <c r="A7" s="5" t="s">
        <v>357</v>
      </c>
      <c r="B7" s="4" t="s">
        <v>358</v>
      </c>
      <c r="C7" s="4">
        <v>1</v>
      </c>
      <c r="D7" s="5" t="s">
        <v>359</v>
      </c>
    </row>
    <row r="8" spans="1:4" ht="39.75" customHeight="1" x14ac:dyDescent="0.3">
      <c r="A8" s="3" t="s">
        <v>360</v>
      </c>
      <c r="B8" s="2" t="s">
        <v>361</v>
      </c>
      <c r="C8" s="2">
        <v>2</v>
      </c>
      <c r="D8" s="3" t="s">
        <v>362</v>
      </c>
    </row>
    <row r="9" spans="1:4" ht="39.75" customHeight="1" x14ac:dyDescent="0.3">
      <c r="A9" s="5" t="s">
        <v>363</v>
      </c>
      <c r="B9" s="4" t="s">
        <v>364</v>
      </c>
      <c r="C9" s="4">
        <v>1</v>
      </c>
      <c r="D9" s="5" t="s">
        <v>365</v>
      </c>
    </row>
    <row r="10" spans="1:4" ht="39.75" customHeight="1" x14ac:dyDescent="0.3">
      <c r="A10" s="6" t="s">
        <v>366</v>
      </c>
      <c r="B10" s="7"/>
      <c r="C10" s="8">
        <f>SUM(C2:C9)</f>
        <v>29</v>
      </c>
      <c r="D10" s="9" t="s">
        <v>367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Referensi Jurnal</vt:lpstr>
      <vt:lpstr>Kategorisasi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Adji Dharmawan Indrianto</cp:lastModifiedBy>
  <cp:revision>0</cp:revision>
  <dcterms:created xsi:type="dcterms:W3CDTF">2026-04-09T00:35:17Z</dcterms:created>
  <dcterms:modified xsi:type="dcterms:W3CDTF">2026-04-09T03:36:58Z</dcterms:modified>
  <dc:language>en-US</dc:language>
</cp:coreProperties>
</file>